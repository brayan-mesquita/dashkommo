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yan/Documents/PROJETOS/Febracis/"/>
    </mc:Choice>
  </mc:AlternateContent>
  <xr:revisionPtr revIDLastSave="0" documentId="13_ncr:1_{F41EC4F9-77F0-9244-A196-8A2839FB33F8}" xr6:coauthVersionLast="47" xr6:coauthVersionMax="47" xr10:uidLastSave="{00000000-0000-0000-0000-000000000000}"/>
  <bookViews>
    <workbookView xWindow="4180" yWindow="1560" windowWidth="28240" windowHeight="17240" xr2:uid="{B2E8B0B7-9742-A44E-A426-9B94BACD5CC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6" i="1" l="1"/>
  <c r="N5" i="1"/>
  <c r="M7" i="1"/>
  <c r="M6" i="1"/>
  <c r="M5" i="1"/>
  <c r="K15" i="1"/>
  <c r="H15" i="1"/>
  <c r="J15" i="1" s="1"/>
  <c r="I11" i="1"/>
  <c r="H11" i="1"/>
  <c r="J11" i="1" s="1"/>
  <c r="G5" i="1"/>
  <c r="G6" i="1"/>
</calcChain>
</file>

<file path=xl/sharedStrings.xml><?xml version="1.0" encoding="utf-8"?>
<sst xmlns="http://schemas.openxmlformats.org/spreadsheetml/2006/main" count="22" uniqueCount="14">
  <si>
    <t>contas</t>
  </si>
  <si>
    <t>gratis</t>
  </si>
  <si>
    <t>valor</t>
  </si>
  <si>
    <t>mês</t>
  </si>
  <si>
    <t>Custo manter parceiro</t>
  </si>
  <si>
    <t>manter</t>
  </si>
  <si>
    <t>custo real</t>
  </si>
  <si>
    <t>Valor total</t>
  </si>
  <si>
    <t>comissão</t>
  </si>
  <si>
    <t>Custo do esquema</t>
  </si>
  <si>
    <t>valor integral</t>
  </si>
  <si>
    <t>com 30%</t>
  </si>
  <si>
    <t>lucro meu</t>
  </si>
  <si>
    <t>will cobra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</si>
</sst>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0E0142"/>
      <name val="EuclidCircularA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0" fillId="0" borderId="1" xfId="0" applyBorder="1"/>
    <xf numFmtId="44" fontId="0" fillId="0" borderId="0" xfId="0" applyNumberFormat="1"/>
    <xf numFmtId="44" fontId="3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07D5-42A1-434C-983F-25F853D72013}">
  <dimension ref="D4:Q15"/>
  <sheetViews>
    <sheetView tabSelected="1" topLeftCell="D2" zoomScale="139" workbookViewId="0">
      <selection activeCell="Q5" sqref="P5:Q5"/>
    </sheetView>
  </sheetViews>
  <sheetFormatPr baseColWidth="10" defaultRowHeight="16"/>
  <cols>
    <col min="10" max="10" width="14.6640625" customWidth="1"/>
    <col min="11" max="11" width="13.5" customWidth="1"/>
    <col min="13" max="13" width="13.33203125" bestFit="1" customWidth="1"/>
    <col min="14" max="14" width="12.33203125" bestFit="1" customWidth="1"/>
    <col min="16" max="16" width="12.33203125" bestFit="1" customWidth="1"/>
  </cols>
  <sheetData>
    <row r="4" spans="4:17">
      <c r="E4" t="s">
        <v>4</v>
      </c>
      <c r="N4" t="s">
        <v>3</v>
      </c>
    </row>
    <row r="5" spans="4:17">
      <c r="E5" s="1">
        <v>124</v>
      </c>
      <c r="F5" s="2">
        <v>6</v>
      </c>
      <c r="G5" s="2">
        <f>F5*E5</f>
        <v>744</v>
      </c>
      <c r="L5" t="s">
        <v>10</v>
      </c>
      <c r="M5" s="3">
        <f>J15</f>
        <v>12096</v>
      </c>
      <c r="N5" s="3">
        <f>M5/6</f>
        <v>2016</v>
      </c>
      <c r="P5" s="3"/>
      <c r="Q5" s="3"/>
    </row>
    <row r="6" spans="4:17">
      <c r="E6" s="1">
        <v>224</v>
      </c>
      <c r="F6" s="2">
        <v>6</v>
      </c>
      <c r="G6" s="2">
        <f>F6*E6</f>
        <v>1344</v>
      </c>
      <c r="L6" t="s">
        <v>11</v>
      </c>
      <c r="M6" s="3">
        <f>M5-M5*30%</f>
        <v>8467.2000000000007</v>
      </c>
      <c r="N6" s="3">
        <f>M6/6</f>
        <v>1411.2</v>
      </c>
    </row>
    <row r="7" spans="4:17">
      <c r="L7" t="s">
        <v>12</v>
      </c>
      <c r="M7" s="3">
        <f>M6-J11</f>
        <v>2347.2000000000007</v>
      </c>
    </row>
    <row r="8" spans="4:17">
      <c r="E8" t="s">
        <v>9</v>
      </c>
    </row>
    <row r="9" spans="4:17">
      <c r="E9" t="s">
        <v>0</v>
      </c>
      <c r="F9" t="s">
        <v>2</v>
      </c>
      <c r="G9" t="s">
        <v>3</v>
      </c>
      <c r="H9" t="s">
        <v>2</v>
      </c>
      <c r="I9" t="s">
        <v>5</v>
      </c>
      <c r="J9" t="s">
        <v>7</v>
      </c>
    </row>
    <row r="10" spans="4:17">
      <c r="E10">
        <v>5</v>
      </c>
      <c r="F10" t="s">
        <v>1</v>
      </c>
      <c r="L10" t="s">
        <v>13</v>
      </c>
      <c r="M10">
        <v>9954</v>
      </c>
    </row>
    <row r="11" spans="4:17">
      <c r="E11">
        <v>4</v>
      </c>
      <c r="F11">
        <v>224</v>
      </c>
      <c r="G11">
        <v>6</v>
      </c>
      <c r="H11">
        <f>E11*F11*G11</f>
        <v>5376</v>
      </c>
      <c r="I11">
        <f>G5</f>
        <v>744</v>
      </c>
      <c r="J11" s="4">
        <f>I11+H11</f>
        <v>6120</v>
      </c>
      <c r="K11" s="3"/>
      <c r="M11" s="3"/>
    </row>
    <row r="14" spans="4:17">
      <c r="D14" t="s">
        <v>6</v>
      </c>
      <c r="E14" t="s">
        <v>0</v>
      </c>
      <c r="F14" t="s">
        <v>2</v>
      </c>
      <c r="G14" t="s">
        <v>3</v>
      </c>
      <c r="H14" t="s">
        <v>2</v>
      </c>
      <c r="I14" t="s">
        <v>5</v>
      </c>
      <c r="J14" t="s">
        <v>7</v>
      </c>
      <c r="K14" t="s">
        <v>8</v>
      </c>
    </row>
    <row r="15" spans="4:17">
      <c r="E15">
        <v>9</v>
      </c>
      <c r="F15">
        <v>224</v>
      </c>
      <c r="G15">
        <v>6</v>
      </c>
      <c r="H15">
        <f>E15*F15*G15</f>
        <v>12096</v>
      </c>
      <c r="J15" s="4">
        <f>I15+H15</f>
        <v>12096</v>
      </c>
      <c r="K15" s="3">
        <f>J15*30%</f>
        <v>3628.7999999999997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</dc:creator>
  <cp:lastModifiedBy>Brayan</cp:lastModifiedBy>
  <dcterms:created xsi:type="dcterms:W3CDTF">2026-05-01T02:18:19Z</dcterms:created>
  <dcterms:modified xsi:type="dcterms:W3CDTF">2026-05-01T02:41:26Z</dcterms:modified>
</cp:coreProperties>
</file>